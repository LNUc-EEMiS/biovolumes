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en\Eigene Dateien\Downloads\"/>
    </mc:Choice>
  </mc:AlternateContent>
  <xr:revisionPtr revIDLastSave="0" documentId="8_{31DAF7A1-AD24-4BB9-9DA3-444E76DA4200}" xr6:coauthVersionLast="47" xr6:coauthVersionMax="47" xr10:uidLastSave="{00000000-0000-0000-0000-000000000000}"/>
  <bookViews>
    <workbookView xWindow="-120" yWindow="-120" windowWidth="29040" windowHeight="15840" xr2:uid="{E52E7C97-EB5F-4808-BCE1-2B873B8A1B27}"/>
  </bookViews>
  <sheets>
    <sheet name="37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55" i="1" l="1"/>
  <c r="K55" i="1"/>
  <c r="M53" i="1"/>
  <c r="K53" i="1"/>
  <c r="M51" i="1"/>
  <c r="K51" i="1"/>
  <c r="M50" i="1"/>
  <c r="K50" i="1"/>
  <c r="M49" i="1"/>
  <c r="K49" i="1"/>
  <c r="M48" i="1"/>
  <c r="K48" i="1"/>
  <c r="M47" i="1"/>
  <c r="K47" i="1"/>
  <c r="M46" i="1"/>
  <c r="K46" i="1"/>
  <c r="M45" i="1"/>
  <c r="K45" i="1"/>
  <c r="M44" i="1"/>
  <c r="K44" i="1"/>
  <c r="K56" i="1" s="1"/>
  <c r="M43" i="1"/>
  <c r="M56" i="1" s="1"/>
  <c r="K43" i="1"/>
</calcChain>
</file>

<file path=xl/sharedStrings.xml><?xml version="1.0" encoding="utf-8"?>
<sst xmlns="http://schemas.openxmlformats.org/spreadsheetml/2006/main" count="241" uniqueCount="100">
  <si>
    <t>Division/Class</t>
  </si>
  <si>
    <t>Species</t>
  </si>
  <si>
    <t>Geometric_shape</t>
  </si>
  <si>
    <t>Trophy</t>
  </si>
  <si>
    <t>Unit</t>
  </si>
  <si>
    <t>SizeClassNo</t>
  </si>
  <si>
    <t>SizeRange</t>
  </si>
  <si>
    <t>Calculated_volume_µm3</t>
  </si>
  <si>
    <t>Calculated_Carbon_pg/counting_unit</t>
  </si>
  <si>
    <t>No_of_cells/counting_unit</t>
  </si>
  <si>
    <t>Abundance [unit number/l]</t>
  </si>
  <si>
    <t>Abundance [N/mL]</t>
  </si>
  <si>
    <t>Biovolume[µg/l]</t>
  </si>
  <si>
    <t>Biovolume [mg/L]</t>
  </si>
  <si>
    <t>Carbon biomass [µgC/l]</t>
  </si>
  <si>
    <t>Cyanobacteria</t>
  </si>
  <si>
    <t>Aphanizomenon flosaquae</t>
  </si>
  <si>
    <t>cylinder</t>
  </si>
  <si>
    <t>AU</t>
  </si>
  <si>
    <t>filament</t>
  </si>
  <si>
    <t>5x100</t>
  </si>
  <si>
    <t>Aphanothece paralleliformis</t>
  </si>
  <si>
    <t>colony</t>
  </si>
  <si>
    <t xml:space="preserve"> 1.5-2x0.8-1</t>
  </si>
  <si>
    <t xml:space="preserve">Aphanocapsa </t>
  </si>
  <si>
    <t>sphere</t>
  </si>
  <si>
    <t xml:space="preserve"> 1-2</t>
  </si>
  <si>
    <t>Cyanodictyon balticum</t>
  </si>
  <si>
    <t xml:space="preserve"> 1x1-1.5</t>
  </si>
  <si>
    <t>Nodularia spumigena</t>
  </si>
  <si>
    <t>10-12x100</t>
  </si>
  <si>
    <t>Oscillatoriales</t>
  </si>
  <si>
    <t>1x10</t>
  </si>
  <si>
    <t>Cryptophyta</t>
  </si>
  <si>
    <t>Plagioselmis nannoplanctica</t>
  </si>
  <si>
    <t>cone + half sphere</t>
  </si>
  <si>
    <t>cell</t>
  </si>
  <si>
    <t xml:space="preserve"> 4-6x7-9</t>
  </si>
  <si>
    <t>Teleaulax amphioxeia</t>
  </si>
  <si>
    <t>5-6x10-12</t>
  </si>
  <si>
    <t>6-8x12-16</t>
  </si>
  <si>
    <t>Dinoflagellata</t>
  </si>
  <si>
    <t>Biecheleria baltica</t>
  </si>
  <si>
    <t>rotational ellipsoid</t>
  </si>
  <si>
    <t xml:space="preserve"> 18x20</t>
  </si>
  <si>
    <t>Gymnodinium</t>
  </si>
  <si>
    <t>flattened ellipsoid</t>
  </si>
  <si>
    <t>4-6x5-10</t>
  </si>
  <si>
    <t>HT</t>
  </si>
  <si>
    <t>7-10x10-15</t>
  </si>
  <si>
    <t>Leubordinium glaucum</t>
  </si>
  <si>
    <t>half cone + cut flattened ellipsoid</t>
  </si>
  <si>
    <t>14-15x33-36</t>
  </si>
  <si>
    <t>Heterocapsa rotundata</t>
  </si>
  <si>
    <t>7-10x12-15</t>
  </si>
  <si>
    <t>Peridiniales</t>
  </si>
  <si>
    <t>sphere-20%</t>
  </si>
  <si>
    <t xml:space="preserve"> 20-27</t>
  </si>
  <si>
    <t xml:space="preserve"> 27-40</t>
  </si>
  <si>
    <t>Peridiniella catenata</t>
  </si>
  <si>
    <t>half sphere</t>
  </si>
  <si>
    <t xml:space="preserve"> 27-30</t>
  </si>
  <si>
    <t>Haptophyta</t>
  </si>
  <si>
    <t>Chrysochromulina</t>
  </si>
  <si>
    <t>MX</t>
  </si>
  <si>
    <t xml:space="preserve"> 4-6</t>
  </si>
  <si>
    <t>Chrysophyceae</t>
  </si>
  <si>
    <t>Pseudopedinella</t>
  </si>
  <si>
    <t>3-5</t>
  </si>
  <si>
    <t>Diatomphyceae</t>
  </si>
  <si>
    <t>Centrales</t>
  </si>
  <si>
    <t xml:space="preserve"> 22-27</t>
  </si>
  <si>
    <t>Coscinodiscus</t>
  </si>
  <si>
    <t>40-50</t>
  </si>
  <si>
    <t xml:space="preserve"> 50-60 </t>
  </si>
  <si>
    <t>Euglenophyta</t>
  </si>
  <si>
    <t>Eutreptiella</t>
  </si>
  <si>
    <t xml:space="preserve"> 7-9x20-25</t>
  </si>
  <si>
    <t>Chlorophyta</t>
  </si>
  <si>
    <t>Oocystis lacustris</t>
  </si>
  <si>
    <t xml:space="preserve"> 10-12x15-20</t>
  </si>
  <si>
    <t>Pyramimonas</t>
  </si>
  <si>
    <t>trapezoid</t>
  </si>
  <si>
    <t xml:space="preserve"> 5-7x5</t>
  </si>
  <si>
    <t>Litostomatea</t>
  </si>
  <si>
    <t>Mesodinium rubrum</t>
  </si>
  <si>
    <t>2 spheres * 5/8</t>
  </si>
  <si>
    <t xml:space="preserve"> 27-33</t>
  </si>
  <si>
    <t xml:space="preserve"> 37-45</t>
  </si>
  <si>
    <t xml:space="preserve"> 45-55</t>
  </si>
  <si>
    <t>Ebriophyceae</t>
  </si>
  <si>
    <t>Ebria tripartita</t>
  </si>
  <si>
    <t>half sphere-30%</t>
  </si>
  <si>
    <t>Flagellates</t>
  </si>
  <si>
    <t xml:space="preserve"> 5-7</t>
  </si>
  <si>
    <t xml:space="preserve"> 2-3</t>
  </si>
  <si>
    <t>Biovolume [ug/L]</t>
  </si>
  <si>
    <t>Choanoflagellatea</t>
  </si>
  <si>
    <t>Inceartae sedis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</si>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</sst>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8"/>
      <name val="Aptos Narrow"/>
      <family val="2"/>
      <charset val="238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charset val="238"/>
      <scheme val="minor"/>
    </font>
    <font>
      <sz val="10"/>
      <name val="Arial"/>
      <family val="2"/>
      <charset val="186"/>
    </font>
    <font>
      <i/>
      <sz val="11"/>
      <name val="Aptos Narrow"/>
      <family val="2"/>
      <scheme val="minor"/>
    </font>
    <font>
      <sz val="10"/>
      <color theme="1"/>
      <name val="Aptos Narrow"/>
      <family val="2"/>
      <charset val="238"/>
      <scheme val="minor"/>
    </font>
    <font>
      <sz val="10"/>
      <name val="Geneva"/>
      <family val="2"/>
      <charset val="186"/>
    </font>
    <font>
      <sz val="11"/>
      <name val="Aptos Narrow"/>
      <family val="2"/>
      <scheme val="minor"/>
    </font>
    <font>
      <sz val="11"/>
      <color theme="1"/>
      <name val="Czcionka tekstu podstawowego"/>
      <family val="2"/>
      <charset val="238"/>
    </font>
    <font>
      <sz val="9"/>
      <color theme="1"/>
      <name val="Arial"/>
      <family val="2"/>
      <charset val="186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1"/>
      <color rgb="FFFF0000"/>
      <name val="Czcionka tekstu podstawowego"/>
      <family val="2"/>
      <charset val="238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5" fillId="0" borderId="0"/>
    <xf numFmtId="0" fontId="8" fillId="0" borderId="0"/>
    <xf numFmtId="0" fontId="10" fillId="0" borderId="0"/>
  </cellStyleXfs>
  <cellXfs count="75">
    <xf numFmtId="0" fontId="0" fillId="0" borderId="0" xfId="0"/>
    <xf numFmtId="0" fontId="2" fillId="2" borderId="1" xfId="1" applyFont="1" applyFill="1" applyBorder="1" applyAlignment="1">
      <alignment horizontal="center" vertical="center" textRotation="90" wrapText="1"/>
    </xf>
    <xf numFmtId="0" fontId="3" fillId="2" borderId="1" xfId="1" applyFont="1" applyFill="1" applyBorder="1" applyAlignment="1">
      <alignment horizontal="center" vertical="center" textRotation="90" wrapText="1"/>
    </xf>
    <xf numFmtId="1" fontId="2" fillId="2" borderId="1" xfId="1" applyNumberFormat="1" applyFont="1" applyFill="1" applyBorder="1" applyAlignment="1">
      <alignment horizontal="center" vertical="center" textRotation="90" wrapText="1"/>
    </xf>
    <xf numFmtId="3" fontId="2" fillId="3" borderId="1" xfId="1" applyNumberFormat="1" applyFont="1" applyFill="1" applyBorder="1" applyAlignment="1">
      <alignment horizontal="center" vertical="center" textRotation="90" wrapText="1"/>
    </xf>
    <xf numFmtId="3" fontId="2" fillId="2" borderId="1" xfId="1" applyNumberFormat="1" applyFont="1" applyFill="1" applyBorder="1" applyAlignment="1">
      <alignment horizontal="center" vertical="center" textRotation="90" wrapText="1"/>
    </xf>
    <xf numFmtId="2" fontId="2" fillId="3" borderId="1" xfId="1" applyNumberFormat="1" applyFont="1" applyFill="1" applyBorder="1" applyAlignment="1">
      <alignment horizontal="center" vertical="center" textRotation="90" wrapText="1"/>
    </xf>
    <xf numFmtId="2" fontId="2" fillId="2" borderId="1" xfId="1" applyNumberFormat="1" applyFont="1" applyFill="1" applyBorder="1" applyAlignment="1">
      <alignment horizontal="center" vertical="center" textRotation="90" wrapText="1"/>
    </xf>
    <xf numFmtId="0" fontId="4" fillId="0" borderId="0" xfId="2" applyFont="1"/>
    <xf numFmtId="3" fontId="5" fillId="4" borderId="0" xfId="3" applyNumberFormat="1" applyFill="1"/>
    <xf numFmtId="0" fontId="6" fillId="0" borderId="0" xfId="1" applyFont="1"/>
    <xf numFmtId="0" fontId="7" fillId="0" borderId="1" xfId="1" applyFont="1" applyBorder="1" applyAlignment="1">
      <alignment horizontal="left" vertical="top"/>
    </xf>
    <xf numFmtId="0" fontId="7" fillId="0" borderId="1" xfId="4" applyFont="1" applyBorder="1" applyAlignment="1">
      <alignment horizontal="center" vertical="top"/>
    </xf>
    <xf numFmtId="0" fontId="7" fillId="0" borderId="1" xfId="3" applyFont="1" applyBorder="1" applyAlignment="1">
      <alignment horizontal="center" vertical="center"/>
    </xf>
    <xf numFmtId="49" fontId="7" fillId="0" borderId="1" xfId="3" applyNumberFormat="1" applyFont="1" applyBorder="1" applyAlignment="1">
      <alignment horizontal="right" vertical="top"/>
    </xf>
    <xf numFmtId="1" fontId="7" fillId="0" borderId="1" xfId="3" applyNumberFormat="1" applyFont="1" applyBorder="1" applyAlignment="1">
      <alignment horizontal="right" vertical="top"/>
    </xf>
    <xf numFmtId="3" fontId="7" fillId="0" borderId="1" xfId="1" applyNumberFormat="1" applyFont="1" applyBorder="1" applyAlignment="1">
      <alignment horizontal="right"/>
    </xf>
    <xf numFmtId="2" fontId="7" fillId="0" borderId="1" xfId="1" applyNumberFormat="1" applyFont="1" applyBorder="1" applyAlignment="1">
      <alignment horizontal="right"/>
    </xf>
    <xf numFmtId="0" fontId="1" fillId="0" borderId="0" xfId="1"/>
    <xf numFmtId="0" fontId="9" fillId="0" borderId="0" xfId="1" applyFont="1"/>
    <xf numFmtId="0" fontId="1" fillId="5" borderId="1" xfId="1" applyFill="1" applyBorder="1"/>
    <xf numFmtId="0" fontId="7" fillId="0" borderId="1" xfId="3" applyFont="1" applyBorder="1" applyAlignment="1">
      <alignment vertical="top"/>
    </xf>
    <xf numFmtId="0" fontId="1" fillId="6" borderId="1" xfId="1" applyFill="1" applyBorder="1"/>
    <xf numFmtId="0" fontId="7" fillId="0" borderId="1" xfId="1" applyFont="1" applyBorder="1"/>
    <xf numFmtId="49" fontId="11" fillId="0" borderId="1" xfId="5" applyNumberFormat="1" applyFont="1" applyBorder="1" applyAlignment="1">
      <alignment horizontal="right" vertical="top"/>
    </xf>
    <xf numFmtId="1" fontId="7" fillId="0" borderId="1" xfId="1" applyNumberFormat="1" applyFont="1" applyBorder="1" applyAlignment="1">
      <alignment horizontal="right"/>
    </xf>
    <xf numFmtId="1" fontId="7" fillId="0" borderId="1" xfId="1" applyNumberFormat="1" applyFont="1" applyBorder="1" applyAlignment="1">
      <alignment horizontal="right" vertical="top"/>
    </xf>
    <xf numFmtId="0" fontId="7" fillId="0" borderId="1" xfId="4" applyFont="1" applyBorder="1" applyAlignment="1">
      <alignment vertical="top"/>
    </xf>
    <xf numFmtId="0" fontId="12" fillId="0" borderId="1" xfId="4" applyFont="1" applyBorder="1" applyAlignment="1">
      <alignment vertical="top"/>
    </xf>
    <xf numFmtId="0" fontId="12" fillId="0" borderId="1" xfId="4" applyFont="1" applyBorder="1" applyAlignment="1">
      <alignment horizontal="center" vertical="top"/>
    </xf>
    <xf numFmtId="0" fontId="12" fillId="0" borderId="1" xfId="3" applyFont="1" applyBorder="1" applyAlignment="1">
      <alignment horizontal="center" vertical="center"/>
    </xf>
    <xf numFmtId="49" fontId="12" fillId="0" borderId="1" xfId="3" applyNumberFormat="1" applyFont="1" applyBorder="1" applyAlignment="1">
      <alignment horizontal="right" vertical="top"/>
    </xf>
    <xf numFmtId="1" fontId="12" fillId="0" borderId="1" xfId="3" applyNumberFormat="1" applyFont="1" applyBorder="1" applyAlignment="1">
      <alignment horizontal="right" vertical="top"/>
    </xf>
    <xf numFmtId="3" fontId="12" fillId="0" borderId="1" xfId="1" applyNumberFormat="1" applyFont="1" applyBorder="1" applyAlignment="1">
      <alignment horizontal="right"/>
    </xf>
    <xf numFmtId="2" fontId="12" fillId="0" borderId="1" xfId="1" applyNumberFormat="1" applyFont="1" applyBorder="1" applyAlignment="1">
      <alignment horizontal="right"/>
    </xf>
    <xf numFmtId="0" fontId="7" fillId="0" borderId="1" xfId="1" applyFont="1" applyBorder="1" applyAlignment="1">
      <alignment horizontal="left"/>
    </xf>
    <xf numFmtId="0" fontId="7" fillId="0" borderId="1" xfId="1" applyFont="1" applyBorder="1" applyAlignment="1">
      <alignment horizontal="center"/>
    </xf>
    <xf numFmtId="49" fontId="7" fillId="0" borderId="1" xfId="1" applyNumberFormat="1" applyFont="1" applyBorder="1" applyAlignment="1">
      <alignment horizontal="right" vertical="top"/>
    </xf>
    <xf numFmtId="0" fontId="7" fillId="0" borderId="1" xfId="3" applyFont="1" applyBorder="1" applyAlignment="1">
      <alignment horizontal="center"/>
    </xf>
    <xf numFmtId="49" fontId="7" fillId="0" borderId="1" xfId="1" applyNumberFormat="1" applyFont="1" applyBorder="1" applyAlignment="1">
      <alignment horizontal="right"/>
    </xf>
    <xf numFmtId="0" fontId="1" fillId="7" borderId="1" xfId="1" applyFill="1" applyBorder="1"/>
    <xf numFmtId="0" fontId="1" fillId="8" borderId="0" xfId="1" applyFill="1"/>
    <xf numFmtId="0" fontId="1" fillId="9" borderId="0" xfId="1" applyFill="1"/>
    <xf numFmtId="0" fontId="7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right"/>
    </xf>
    <xf numFmtId="164" fontId="11" fillId="0" borderId="1" xfId="5" applyNumberFormat="1" applyFont="1" applyBorder="1" applyAlignment="1">
      <alignment horizontal="right" vertical="top"/>
    </xf>
    <xf numFmtId="0" fontId="1" fillId="10" borderId="0" xfId="1" applyFill="1"/>
    <xf numFmtId="0" fontId="1" fillId="11" borderId="0" xfId="1" applyFill="1"/>
    <xf numFmtId="0" fontId="7" fillId="0" borderId="1" xfId="1" applyFont="1" applyBorder="1" applyAlignment="1">
      <alignment horizontal="center" vertical="top"/>
    </xf>
    <xf numFmtId="0" fontId="1" fillId="12" borderId="0" xfId="1" applyFill="1"/>
    <xf numFmtId="0" fontId="1" fillId="13" borderId="0" xfId="1" applyFill="1"/>
    <xf numFmtId="0" fontId="1" fillId="14" borderId="1" xfId="1" applyFill="1" applyBorder="1"/>
    <xf numFmtId="0" fontId="7" fillId="0" borderId="0" xfId="1" applyFont="1" applyAlignment="1">
      <alignment horizontal="center" vertical="center"/>
    </xf>
    <xf numFmtId="0" fontId="13" fillId="0" borderId="0" xfId="1" applyFont="1"/>
    <xf numFmtId="0" fontId="7" fillId="0" borderId="0" xfId="1" applyFont="1"/>
    <xf numFmtId="0" fontId="7" fillId="0" borderId="0" xfId="1" applyFont="1" applyAlignment="1">
      <alignment horizontal="center"/>
    </xf>
    <xf numFmtId="0" fontId="7" fillId="0" borderId="0" xfId="1" applyFont="1" applyAlignment="1">
      <alignment horizontal="right"/>
    </xf>
    <xf numFmtId="1" fontId="7" fillId="0" borderId="0" xfId="1" applyNumberFormat="1" applyFont="1" applyAlignment="1">
      <alignment horizontal="right"/>
    </xf>
    <xf numFmtId="4" fontId="14" fillId="0" borderId="0" xfId="1" applyNumberFormat="1" applyFont="1" applyAlignment="1">
      <alignment horizontal="right"/>
    </xf>
    <xf numFmtId="3" fontId="7" fillId="0" borderId="0" xfId="1" applyNumberFormat="1" applyFont="1" applyAlignment="1">
      <alignment horizontal="left"/>
    </xf>
    <xf numFmtId="3" fontId="7" fillId="0" borderId="0" xfId="1" applyNumberFormat="1" applyFont="1" applyAlignment="1">
      <alignment horizontal="right"/>
    </xf>
    <xf numFmtId="2" fontId="7" fillId="0" borderId="0" xfId="1" applyNumberFormat="1" applyFont="1" applyAlignment="1">
      <alignment horizontal="left"/>
    </xf>
    <xf numFmtId="2" fontId="7" fillId="0" borderId="0" xfId="1" applyNumberFormat="1" applyFont="1" applyAlignment="1">
      <alignment horizontal="right"/>
    </xf>
    <xf numFmtId="0" fontId="1" fillId="4" borderId="1" xfId="1" applyFill="1" applyBorder="1"/>
    <xf numFmtId="11" fontId="7" fillId="0" borderId="0" xfId="1" applyNumberFormat="1" applyFont="1" applyAlignment="1">
      <alignment horizontal="right"/>
    </xf>
    <xf numFmtId="0" fontId="1" fillId="10" borderId="1" xfId="1" applyFill="1" applyBorder="1"/>
    <xf numFmtId="0" fontId="1" fillId="12" borderId="1" xfId="1" applyFill="1" applyBorder="1"/>
    <xf numFmtId="0" fontId="1" fillId="15" borderId="0" xfId="1" applyFill="1"/>
    <xf numFmtId="0" fontId="1" fillId="13" borderId="1" xfId="1" applyFill="1" applyBorder="1"/>
    <xf numFmtId="2" fontId="14" fillId="0" borderId="0" xfId="1" applyNumberFormat="1" applyFont="1" applyAlignment="1">
      <alignment horizontal="right"/>
    </xf>
    <xf numFmtId="0" fontId="7" fillId="16" borderId="1" xfId="1" applyFont="1" applyFill="1" applyBorder="1" applyAlignment="1">
      <alignment horizontal="left" vertical="center"/>
    </xf>
    <xf numFmtId="3" fontId="13" fillId="0" borderId="0" xfId="1" applyNumberFormat="1" applyFont="1" applyAlignment="1">
      <alignment horizontal="right"/>
    </xf>
    <xf numFmtId="2" fontId="13" fillId="0" borderId="0" xfId="1" applyNumberFormat="1" applyFont="1" applyAlignment="1">
      <alignment horizontal="right"/>
    </xf>
    <xf numFmtId="0" fontId="15" fillId="0" borderId="0" xfId="0" applyFont="1"/>
    <xf numFmtId="3" fontId="14" fillId="0" borderId="0" xfId="1" applyNumberFormat="1" applyFont="1" applyAlignment="1">
      <alignment horizontal="right"/>
    </xf>
  </cellXfs>
  <cellStyles count="6">
    <cellStyle name="Normal_165/02plank-Wink" xfId="4" xr:uid="{E9483C8A-1937-4271-B8BB-833E58B11F62}"/>
    <cellStyle name="Normalny 2" xfId="5" xr:uid="{90C3A013-9CD5-4E8C-932C-98785698676B}"/>
    <cellStyle name="Normalny 2 2" xfId="3" xr:uid="{DB996A18-1276-4FF1-8812-49BE405AD21B}"/>
    <cellStyle name="Normalny 2 3" xfId="1" xr:uid="{BC2D9E62-8E77-40B4-A700-C2E4E3E399B8}"/>
    <cellStyle name="Normalny 2 4" xfId="2" xr:uid="{8DB6DB27-A34A-407A-8796-774C2A49CB3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6453380" y="2982278"/>
    <xdr:ext cx="1363027" cy="723900"/>
    <xdr:sp macro="" textlink="">
      <xdr:nvSpPr>
        <xdr:cNvPr id="2" name="Text Box 8" hidden="1">
          <a:extLst>
            <a:ext uri="{FF2B5EF4-FFF2-40B4-BE49-F238E27FC236}">
              <a16:creationId xmlns:a16="http://schemas.microsoft.com/office/drawing/2014/main" id="{50097C36-F935-41AB-8EF5-0CA5473B5888}"/>
            </a:ext>
          </a:extLst>
        </xdr:cNvPr>
        <xdr:cNvSpPr txBox="1">
          <a:spLocks noChangeArrowheads="1"/>
        </xdr:cNvSpPr>
      </xdr:nvSpPr>
      <xdr:spPr bwMode="auto">
        <a:xfrm>
          <a:off x="16453380" y="2982278"/>
          <a:ext cx="1363027" cy="7239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absolute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88270-72E4-47ED-B996-398D24EDF726}">
  <sheetPr>
    <tabColor rgb="FF00B050"/>
    <pageSetUpPr fitToPage="1"/>
  </sheetPr>
  <dimension ref="A1:O56"/>
  <sheetViews>
    <sheetView tabSelected="1" zoomScale="120" zoomScaleNormal="120" workbookViewId="0">
      <pane xSplit="2" ySplit="1" topLeftCell="C2" activePane="bottomRight" state="frozen"/>
      <selection pane="topRight" activeCell="D1" sqref="D1"/>
      <selection pane="bottomLeft" activeCell="A8" sqref="A8"/>
      <selection pane="bottomRight" activeCell="K37" sqref="K37:O38"/>
    </sheetView>
  </sheetViews>
  <sheetFormatPr baseColWidth="10" defaultColWidth="10" defaultRowHeight="15"/>
  <cols>
    <col min="1" max="1" width="10" style="52"/>
    <col min="2" max="2" width="26.28515625" style="53" customWidth="1"/>
    <col min="3" max="3" width="9.42578125" style="54" customWidth="1"/>
    <col min="4" max="4" width="9.42578125" style="55" customWidth="1"/>
    <col min="5" max="5" width="11" style="52" customWidth="1"/>
    <col min="6" max="6" width="7.7109375" style="52" customWidth="1"/>
    <col min="7" max="7" width="14.28515625" style="56" customWidth="1"/>
    <col min="8" max="10" width="10" style="57"/>
    <col min="11" max="12" width="10.7109375" style="60" customWidth="1"/>
    <col min="13" max="15" width="10" style="62"/>
    <col min="16" max="16384" width="10" style="18"/>
  </cols>
  <sheetData>
    <row r="1" spans="1:15" s="8" customFormat="1" ht="69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6" t="s">
        <v>12</v>
      </c>
      <c r="N1" s="7" t="s">
        <v>13</v>
      </c>
      <c r="O1" s="7" t="s">
        <v>14</v>
      </c>
    </row>
    <row r="2" spans="1:15">
      <c r="A2" s="9" t="s">
        <v>15</v>
      </c>
      <c r="B2" s="10" t="s">
        <v>16</v>
      </c>
      <c r="C2" s="11" t="s">
        <v>17</v>
      </c>
      <c r="D2" s="12" t="s">
        <v>18</v>
      </c>
      <c r="E2" s="13" t="s">
        <v>19</v>
      </c>
      <c r="F2" s="13">
        <v>1</v>
      </c>
      <c r="G2" s="14" t="s">
        <v>20</v>
      </c>
      <c r="H2" s="15">
        <v>1962.5</v>
      </c>
      <c r="I2" s="15">
        <v>311.39636437404715</v>
      </c>
      <c r="J2" s="15">
        <v>12.5</v>
      </c>
      <c r="K2" s="16">
        <v>33876.593137254902</v>
      </c>
      <c r="L2" s="16">
        <v>33.876593137254901</v>
      </c>
      <c r="M2" s="17">
        <v>66.482814031862745</v>
      </c>
      <c r="N2" s="17">
        <v>6.648281403186275E-2</v>
      </c>
      <c r="O2" s="17">
        <v>10.549047940319973</v>
      </c>
    </row>
    <row r="3" spans="1:15">
      <c r="A3" s="9" t="s">
        <v>15</v>
      </c>
      <c r="B3" s="10" t="s">
        <v>21</v>
      </c>
      <c r="C3" s="11" t="s">
        <v>17</v>
      </c>
      <c r="D3" s="12" t="s">
        <v>18</v>
      </c>
      <c r="E3" s="13" t="s">
        <v>22</v>
      </c>
      <c r="F3" s="13">
        <v>3</v>
      </c>
      <c r="G3" s="14" t="s">
        <v>23</v>
      </c>
      <c r="H3" s="15">
        <v>57.226500000000001</v>
      </c>
      <c r="I3" s="15">
        <v>12.259554204998452</v>
      </c>
      <c r="J3" s="15">
        <v>50</v>
      </c>
      <c r="K3" s="16">
        <v>14124.287388535038</v>
      </c>
      <c r="L3" s="16">
        <v>14.124287388535038</v>
      </c>
      <c r="M3" s="17">
        <v>0.80828353224000049</v>
      </c>
      <c r="N3" s="17">
        <v>8.0828353224000047E-4</v>
      </c>
      <c r="O3" s="17">
        <v>0.17315746684672134</v>
      </c>
    </row>
    <row r="4" spans="1:15">
      <c r="A4" s="9" t="s">
        <v>15</v>
      </c>
      <c r="B4" s="10" t="s">
        <v>21</v>
      </c>
      <c r="C4" s="11" t="s">
        <v>17</v>
      </c>
      <c r="D4" s="12" t="s">
        <v>18</v>
      </c>
      <c r="E4" s="13" t="s">
        <v>22</v>
      </c>
      <c r="F4" s="13">
        <v>4</v>
      </c>
      <c r="G4" s="14" t="s">
        <v>23</v>
      </c>
      <c r="H4" s="15">
        <v>114.453</v>
      </c>
      <c r="I4" s="15">
        <v>24.519108409996903</v>
      </c>
      <c r="J4" s="15">
        <v>100</v>
      </c>
      <c r="K4" s="16">
        <v>4708.0957961783461</v>
      </c>
      <c r="L4" s="16">
        <v>4.7080957961783465</v>
      </c>
      <c r="M4" s="17">
        <v>0.53885568816000029</v>
      </c>
      <c r="N4" s="17">
        <v>5.3885568816000031E-4</v>
      </c>
      <c r="O4" s="17">
        <v>0.11543831123114756</v>
      </c>
    </row>
    <row r="5" spans="1:15">
      <c r="A5" s="9" t="s">
        <v>15</v>
      </c>
      <c r="B5" s="10" t="s">
        <v>24</v>
      </c>
      <c r="C5" s="11" t="s">
        <v>25</v>
      </c>
      <c r="D5" s="12" t="s">
        <v>18</v>
      </c>
      <c r="E5" s="13" t="s">
        <v>22</v>
      </c>
      <c r="F5" s="13">
        <v>3</v>
      </c>
      <c r="G5" s="14" t="s">
        <v>26</v>
      </c>
      <c r="H5" s="15">
        <v>88.3125</v>
      </c>
      <c r="I5" s="15">
        <v>18.424925804799916</v>
      </c>
      <c r="J5" s="15">
        <v>50</v>
      </c>
      <c r="K5" s="16">
        <v>11770.239490445863</v>
      </c>
      <c r="L5" s="16">
        <v>11.770239490445864</v>
      </c>
      <c r="M5" s="17">
        <v>1.0394592750000002</v>
      </c>
      <c r="N5" s="17">
        <v>1.0394592750000002E-3</v>
      </c>
      <c r="O5" s="17">
        <v>0.21686578931619099</v>
      </c>
    </row>
    <row r="6" spans="1:15">
      <c r="A6" s="9" t="s">
        <v>15</v>
      </c>
      <c r="B6" s="10" t="s">
        <v>27</v>
      </c>
      <c r="C6" s="11" t="s">
        <v>17</v>
      </c>
      <c r="D6" s="12" t="s">
        <v>18</v>
      </c>
      <c r="E6" s="13" t="s">
        <v>22</v>
      </c>
      <c r="F6" s="13">
        <v>3</v>
      </c>
      <c r="G6" s="14" t="s">
        <v>28</v>
      </c>
      <c r="H6" s="15">
        <v>47.099999999999994</v>
      </c>
      <c r="I6" s="15">
        <v>10.210747887597492</v>
      </c>
      <c r="J6" s="15">
        <v>50</v>
      </c>
      <c r="K6" s="16">
        <v>11770.239490445863</v>
      </c>
      <c r="L6" s="16">
        <v>11.770239490445864</v>
      </c>
      <c r="M6" s="17">
        <v>0.55437828000000011</v>
      </c>
      <c r="N6" s="17">
        <v>5.5437828000000008E-4</v>
      </c>
      <c r="O6" s="17">
        <v>0.12018294801358667</v>
      </c>
    </row>
    <row r="7" spans="1:15">
      <c r="A7" s="9" t="s">
        <v>15</v>
      </c>
      <c r="B7" s="10" t="s">
        <v>29</v>
      </c>
      <c r="C7" s="11" t="s">
        <v>17</v>
      </c>
      <c r="D7" s="12" t="s">
        <v>18</v>
      </c>
      <c r="E7" s="13" t="s">
        <v>19</v>
      </c>
      <c r="F7" s="13">
        <v>3</v>
      </c>
      <c r="G7" s="14" t="s">
        <v>30</v>
      </c>
      <c r="H7" s="15">
        <v>9498.5</v>
      </c>
      <c r="I7" s="15">
        <v>1428.0590377549743</v>
      </c>
      <c r="J7" s="15">
        <v>25</v>
      </c>
      <c r="K7" s="16">
        <v>1000.0000000000001</v>
      </c>
      <c r="L7" s="16">
        <v>1.0000000000000002</v>
      </c>
      <c r="M7" s="17">
        <v>9.4985000000000017</v>
      </c>
      <c r="N7" s="17">
        <v>9.4985000000000017E-3</v>
      </c>
      <c r="O7" s="17">
        <v>1.4280590377549742</v>
      </c>
    </row>
    <row r="8" spans="1:15">
      <c r="A8" s="9" t="s">
        <v>15</v>
      </c>
      <c r="B8" s="19" t="s">
        <v>31</v>
      </c>
      <c r="C8" s="11" t="s">
        <v>17</v>
      </c>
      <c r="D8" s="12" t="s">
        <v>18</v>
      </c>
      <c r="E8" s="13" t="s">
        <v>19</v>
      </c>
      <c r="F8" s="13">
        <v>8</v>
      </c>
      <c r="G8" s="14" t="s">
        <v>32</v>
      </c>
      <c r="H8" s="15">
        <v>7.8500000000000005</v>
      </c>
      <c r="I8" s="15">
        <v>1.7951435730787209</v>
      </c>
      <c r="J8" s="15">
        <v>5</v>
      </c>
      <c r="K8" s="16">
        <v>156936.52653927816</v>
      </c>
      <c r="L8" s="16">
        <v>156.93652653927816</v>
      </c>
      <c r="M8" s="17">
        <v>1.2319517333333336</v>
      </c>
      <c r="N8" s="17">
        <v>1.2319517333333337E-3</v>
      </c>
      <c r="O8" s="17">
        <v>0.28172359699828331</v>
      </c>
    </row>
    <row r="9" spans="1:15">
      <c r="A9" s="20" t="s">
        <v>33</v>
      </c>
      <c r="B9" s="10" t="s">
        <v>34</v>
      </c>
      <c r="C9" s="21" t="s">
        <v>35</v>
      </c>
      <c r="D9" s="12" t="s">
        <v>18</v>
      </c>
      <c r="E9" s="13" t="s">
        <v>36</v>
      </c>
      <c r="F9" s="13">
        <v>1</v>
      </c>
      <c r="G9" s="14" t="s">
        <v>37</v>
      </c>
      <c r="H9" s="15">
        <v>68.6875</v>
      </c>
      <c r="I9" s="15">
        <v>11.462567882516298</v>
      </c>
      <c r="J9" s="15">
        <v>1</v>
      </c>
      <c r="K9" s="16">
        <v>164783.35286624209</v>
      </c>
      <c r="L9" s="16">
        <v>164.7833528662421</v>
      </c>
      <c r="M9" s="17">
        <v>11.318556550000002</v>
      </c>
      <c r="N9" s="17">
        <v>1.1318556550000003E-2</v>
      </c>
      <c r="O9" s="17">
        <v>1.8888403681379367</v>
      </c>
    </row>
    <row r="10" spans="1:15">
      <c r="A10" s="20" t="s">
        <v>33</v>
      </c>
      <c r="B10" s="10" t="s">
        <v>38</v>
      </c>
      <c r="C10" s="21" t="s">
        <v>35</v>
      </c>
      <c r="D10" s="12" t="s">
        <v>18</v>
      </c>
      <c r="E10" s="13" t="s">
        <v>36</v>
      </c>
      <c r="F10" s="13">
        <v>2</v>
      </c>
      <c r="G10" s="14" t="s">
        <v>39</v>
      </c>
      <c r="H10" s="15">
        <v>108.83697916666667</v>
      </c>
      <c r="I10" s="15">
        <v>17.659844090540059</v>
      </c>
      <c r="J10" s="15">
        <v>1</v>
      </c>
      <c r="K10" s="16">
        <v>20587.151956323934</v>
      </c>
      <c r="L10" s="16">
        <v>20.587151956323936</v>
      </c>
      <c r="M10" s="17">
        <v>2.240643428571429</v>
      </c>
      <c r="N10" s="17">
        <v>2.2406434285714288E-3</v>
      </c>
      <c r="O10" s="17">
        <v>0.36356589381693744</v>
      </c>
    </row>
    <row r="11" spans="1:15">
      <c r="A11" s="20" t="s">
        <v>33</v>
      </c>
      <c r="B11" s="10" t="s">
        <v>38</v>
      </c>
      <c r="C11" s="21" t="s">
        <v>35</v>
      </c>
      <c r="D11" s="12" t="s">
        <v>18</v>
      </c>
      <c r="E11" s="13" t="s">
        <v>36</v>
      </c>
      <c r="F11" s="13">
        <v>3</v>
      </c>
      <c r="G11" s="14" t="s">
        <v>40</v>
      </c>
      <c r="H11" s="15">
        <v>224.37916666666663</v>
      </c>
      <c r="I11" s="15">
        <v>34.835844839557318</v>
      </c>
      <c r="J11" s="15">
        <v>1</v>
      </c>
      <c r="K11" s="16">
        <v>16469.721565059146</v>
      </c>
      <c r="L11" s="16">
        <v>16.469721565059146</v>
      </c>
      <c r="M11" s="17">
        <v>3.6954623999999998</v>
      </c>
      <c r="N11" s="17">
        <v>3.6954623999999998E-3</v>
      </c>
      <c r="O11" s="17">
        <v>0.57373666499111153</v>
      </c>
    </row>
    <row r="12" spans="1:15">
      <c r="A12" s="22" t="s">
        <v>41</v>
      </c>
      <c r="B12" s="10" t="s">
        <v>42</v>
      </c>
      <c r="C12" s="23" t="s">
        <v>43</v>
      </c>
      <c r="D12" s="12" t="s">
        <v>18</v>
      </c>
      <c r="E12" s="13" t="s">
        <v>36</v>
      </c>
      <c r="F12" s="13">
        <v>6</v>
      </c>
      <c r="G12" s="24" t="s">
        <v>44</v>
      </c>
      <c r="H12" s="25">
        <v>3391.2</v>
      </c>
      <c r="I12" s="26">
        <v>446.12400987474757</v>
      </c>
      <c r="J12" s="15">
        <v>1</v>
      </c>
      <c r="K12" s="16">
        <v>100.28594771241831</v>
      </c>
      <c r="L12" s="16">
        <v>0.10028594771241831</v>
      </c>
      <c r="M12" s="17">
        <v>0.34008970588235293</v>
      </c>
      <c r="N12" s="17">
        <v>3.4008970588235291E-4</v>
      </c>
      <c r="O12" s="17">
        <v>4.4739969127553327E-2</v>
      </c>
    </row>
    <row r="13" spans="1:15">
      <c r="A13" s="22" t="s">
        <v>41</v>
      </c>
      <c r="B13" s="10" t="s">
        <v>45</v>
      </c>
      <c r="C13" s="27" t="s">
        <v>46</v>
      </c>
      <c r="D13" s="12" t="s">
        <v>18</v>
      </c>
      <c r="E13" s="13" t="s">
        <v>36</v>
      </c>
      <c r="F13" s="13">
        <v>1</v>
      </c>
      <c r="G13" s="14" t="s">
        <v>47</v>
      </c>
      <c r="H13" s="15">
        <v>72.482484374999999</v>
      </c>
      <c r="I13" s="15">
        <v>12.056259978551543</v>
      </c>
      <c r="J13" s="15">
        <v>1</v>
      </c>
      <c r="K13" s="16">
        <v>31387.305307855633</v>
      </c>
      <c r="L13" s="16">
        <v>31.387305307855634</v>
      </c>
      <c r="M13" s="17">
        <v>2.2750298665500002</v>
      </c>
      <c r="N13" s="17">
        <v>2.2750298665500002E-3</v>
      </c>
      <c r="O13" s="17">
        <v>0.37841351281767827</v>
      </c>
    </row>
    <row r="14" spans="1:15">
      <c r="A14" s="22" t="s">
        <v>41</v>
      </c>
      <c r="B14" s="10" t="s">
        <v>45</v>
      </c>
      <c r="C14" s="27" t="s">
        <v>46</v>
      </c>
      <c r="D14" s="12" t="s">
        <v>48</v>
      </c>
      <c r="E14" s="13" t="s">
        <v>36</v>
      </c>
      <c r="F14" s="13"/>
      <c r="G14" s="14" t="s">
        <v>47</v>
      </c>
      <c r="H14" s="15">
        <v>72.482484374999999</v>
      </c>
      <c r="I14" s="15">
        <v>12.056259978551543</v>
      </c>
      <c r="J14" s="15">
        <v>1</v>
      </c>
      <c r="K14" s="16">
        <v>15693.652653927817</v>
      </c>
      <c r="L14" s="16">
        <v>15.693652653927817</v>
      </c>
      <c r="M14" s="17">
        <v>1.1375149332750001</v>
      </c>
      <c r="N14" s="17">
        <v>1.1375149332750001E-3</v>
      </c>
      <c r="O14" s="17">
        <v>0.18920675640883913</v>
      </c>
    </row>
    <row r="15" spans="1:15">
      <c r="A15" s="22" t="s">
        <v>41</v>
      </c>
      <c r="B15" s="10" t="s">
        <v>45</v>
      </c>
      <c r="C15" s="27" t="s">
        <v>46</v>
      </c>
      <c r="D15" s="12" t="s">
        <v>18</v>
      </c>
      <c r="E15" s="13" t="s">
        <v>36</v>
      </c>
      <c r="F15" s="13">
        <v>2</v>
      </c>
      <c r="G15" s="14" t="s">
        <v>49</v>
      </c>
      <c r="H15" s="15">
        <v>335.56705729166669</v>
      </c>
      <c r="I15" s="15">
        <v>50.83473127467483</v>
      </c>
      <c r="J15" s="15">
        <v>1</v>
      </c>
      <c r="K15" s="16">
        <v>4117.4303912647865</v>
      </c>
      <c r="L15" s="16">
        <v>4.1174303912647865</v>
      </c>
      <c r="M15" s="17">
        <v>1.3816740000000003</v>
      </c>
      <c r="N15" s="17">
        <v>1.3816740000000003E-3</v>
      </c>
      <c r="O15" s="17">
        <v>0.20930846748212467</v>
      </c>
    </row>
    <row r="16" spans="1:15">
      <c r="A16" s="22" t="s">
        <v>41</v>
      </c>
      <c r="B16" s="10" t="s">
        <v>45</v>
      </c>
      <c r="C16" s="27" t="s">
        <v>46</v>
      </c>
      <c r="D16" s="12" t="s">
        <v>48</v>
      </c>
      <c r="E16" s="13" t="s">
        <v>36</v>
      </c>
      <c r="F16" s="13"/>
      <c r="G16" s="14" t="s">
        <v>49</v>
      </c>
      <c r="H16" s="15">
        <v>335.56705729166669</v>
      </c>
      <c r="I16" s="15">
        <v>50.83473127467483</v>
      </c>
      <c r="J16" s="15">
        <v>1</v>
      </c>
      <c r="K16" s="16">
        <v>2058.7151956323933</v>
      </c>
      <c r="L16" s="16">
        <v>2.0587151956323932</v>
      </c>
      <c r="M16" s="17">
        <v>0.69083700000000015</v>
      </c>
      <c r="N16" s="17">
        <v>6.9083700000000013E-4</v>
      </c>
      <c r="O16" s="17">
        <v>0.10465423374106234</v>
      </c>
    </row>
    <row r="17" spans="1:15">
      <c r="A17" s="22" t="s">
        <v>41</v>
      </c>
      <c r="B17" s="10" t="s">
        <v>50</v>
      </c>
      <c r="C17" s="28" t="s">
        <v>51</v>
      </c>
      <c r="D17" s="29" t="s">
        <v>48</v>
      </c>
      <c r="E17" s="30" t="s">
        <v>36</v>
      </c>
      <c r="F17" s="30">
        <v>2</v>
      </c>
      <c r="G17" s="31" t="s">
        <v>52</v>
      </c>
      <c r="H17" s="32">
        <v>1613.3270937499999</v>
      </c>
      <c r="I17" s="32">
        <v>222.07778153255762</v>
      </c>
      <c r="J17" s="32">
        <v>1</v>
      </c>
      <c r="K17" s="33">
        <v>4117.4303912647865</v>
      </c>
      <c r="L17" s="33">
        <v>4.1174303912647865</v>
      </c>
      <c r="M17" s="34">
        <v>6.6427620068571427</v>
      </c>
      <c r="N17" s="34">
        <v>6.6427620068571424E-3</v>
      </c>
      <c r="O17" s="34">
        <v>0.9143898069068146</v>
      </c>
    </row>
    <row r="18" spans="1:15">
      <c r="A18" s="22" t="s">
        <v>41</v>
      </c>
      <c r="B18" s="10" t="s">
        <v>53</v>
      </c>
      <c r="C18" s="27" t="s">
        <v>35</v>
      </c>
      <c r="D18" s="12" t="s">
        <v>18</v>
      </c>
      <c r="E18" s="13" t="s">
        <v>36</v>
      </c>
      <c r="F18" s="13">
        <v>2</v>
      </c>
      <c r="G18" s="14" t="s">
        <v>54</v>
      </c>
      <c r="H18" s="15">
        <v>335.57114583333333</v>
      </c>
      <c r="I18" s="15">
        <v>83.590292644496557</v>
      </c>
      <c r="J18" s="15">
        <v>1</v>
      </c>
      <c r="K18" s="16">
        <v>6176.1455868971798</v>
      </c>
      <c r="L18" s="16">
        <v>6.1761455868971797</v>
      </c>
      <c r="M18" s="17">
        <v>2.0725362514285717</v>
      </c>
      <c r="N18" s="17">
        <v>2.0725362514285718E-3</v>
      </c>
      <c r="O18" s="17">
        <v>0.51626581702375118</v>
      </c>
    </row>
    <row r="19" spans="1:15">
      <c r="A19" s="22" t="s">
        <v>41</v>
      </c>
      <c r="B19" s="19" t="s">
        <v>55</v>
      </c>
      <c r="C19" s="35" t="s">
        <v>56</v>
      </c>
      <c r="D19" s="36" t="s">
        <v>18</v>
      </c>
      <c r="E19" s="13" t="s">
        <v>36</v>
      </c>
      <c r="F19" s="13">
        <v>4</v>
      </c>
      <c r="G19" s="37" t="s">
        <v>57</v>
      </c>
      <c r="H19" s="25">
        <v>6541.666666666667</v>
      </c>
      <c r="I19" s="26">
        <v>826.77087432009262</v>
      </c>
      <c r="J19" s="15">
        <v>1</v>
      </c>
      <c r="K19" s="16">
        <v>2058.7151956323933</v>
      </c>
      <c r="L19" s="16">
        <v>2.0587151956323932</v>
      </c>
      <c r="M19" s="17">
        <v>13.467428571428572</v>
      </c>
      <c r="N19" s="17">
        <v>1.3467428571428571E-2</v>
      </c>
      <c r="O19" s="17">
        <v>1.7020857622690544</v>
      </c>
    </row>
    <row r="20" spans="1:15">
      <c r="A20" s="22" t="s">
        <v>41</v>
      </c>
      <c r="B20" s="19" t="s">
        <v>55</v>
      </c>
      <c r="C20" s="35" t="s">
        <v>43</v>
      </c>
      <c r="D20" s="36" t="s">
        <v>18</v>
      </c>
      <c r="E20" s="13" t="s">
        <v>36</v>
      </c>
      <c r="F20" s="13">
        <v>71</v>
      </c>
      <c r="G20" s="37" t="s">
        <v>58</v>
      </c>
      <c r="H20" s="25">
        <v>6173.4911999999995</v>
      </c>
      <c r="I20" s="26">
        <v>783.00079629998208</v>
      </c>
      <c r="J20" s="15">
        <v>1</v>
      </c>
      <c r="K20" s="16">
        <v>501.42973856209153</v>
      </c>
      <c r="L20" s="16">
        <v>0.5014297385620915</v>
      </c>
      <c r="M20" s="17">
        <v>3.0955720784313727</v>
      </c>
      <c r="N20" s="17">
        <v>3.0955720784313729E-3</v>
      </c>
      <c r="O20" s="17">
        <v>0.39261988458260955</v>
      </c>
    </row>
    <row r="21" spans="1:15">
      <c r="A21" s="22" t="s">
        <v>41</v>
      </c>
      <c r="B21" s="19" t="s">
        <v>59</v>
      </c>
      <c r="C21" s="35" t="s">
        <v>60</v>
      </c>
      <c r="D21" s="36" t="s">
        <v>18</v>
      </c>
      <c r="E21" s="38" t="s">
        <v>36</v>
      </c>
      <c r="F21" s="38">
        <v>3</v>
      </c>
      <c r="G21" s="39" t="s">
        <v>61</v>
      </c>
      <c r="H21" s="25">
        <v>5744.1066666666666</v>
      </c>
      <c r="I21" s="25">
        <v>731.75159029035513</v>
      </c>
      <c r="J21" s="15">
        <v>1</v>
      </c>
      <c r="K21" s="16">
        <v>100.28594771241831</v>
      </c>
      <c r="L21" s="16">
        <v>0.10028594771241831</v>
      </c>
      <c r="M21" s="17">
        <v>0.5760531808278867</v>
      </c>
      <c r="N21" s="17">
        <v>5.7605318082788672E-4</v>
      </c>
      <c r="O21" s="17">
        <v>7.3384401722337497E-2</v>
      </c>
    </row>
    <row r="22" spans="1:15">
      <c r="A22" s="40" t="s">
        <v>62</v>
      </c>
      <c r="B22" s="10" t="s">
        <v>63</v>
      </c>
      <c r="C22" s="35" t="s">
        <v>25</v>
      </c>
      <c r="D22" s="36" t="s">
        <v>64</v>
      </c>
      <c r="E22" s="13" t="s">
        <v>36</v>
      </c>
      <c r="F22" s="13">
        <v>2</v>
      </c>
      <c r="G22" s="37" t="s">
        <v>65</v>
      </c>
      <c r="H22" s="25">
        <v>65.416666666666671</v>
      </c>
      <c r="I22" s="26">
        <v>10.949270089513073</v>
      </c>
      <c r="J22" s="15">
        <v>1</v>
      </c>
      <c r="K22" s="16">
        <v>47080.957961783453</v>
      </c>
      <c r="L22" s="16">
        <v>47.080957961783454</v>
      </c>
      <c r="M22" s="17">
        <v>3.0798793333333343</v>
      </c>
      <c r="N22" s="17">
        <v>3.0798793333333342E-3</v>
      </c>
      <c r="O22" s="17">
        <v>0.51550212479657787</v>
      </c>
    </row>
    <row r="23" spans="1:15">
      <c r="A23" s="41" t="s">
        <v>66</v>
      </c>
      <c r="B23" s="10" t="s">
        <v>67</v>
      </c>
      <c r="C23" s="35" t="s">
        <v>25</v>
      </c>
      <c r="D23" s="36" t="s">
        <v>18</v>
      </c>
      <c r="E23" s="13" t="s">
        <v>36</v>
      </c>
      <c r="F23" s="13">
        <v>1</v>
      </c>
      <c r="G23" s="37" t="s">
        <v>68</v>
      </c>
      <c r="H23" s="25">
        <v>33.493333333333332</v>
      </c>
      <c r="I23" s="26">
        <v>5.839688237915869</v>
      </c>
      <c r="J23" s="15">
        <v>1</v>
      </c>
      <c r="K23" s="16">
        <v>28248.574777070076</v>
      </c>
      <c r="L23" s="16">
        <v>28.248574777070075</v>
      </c>
      <c r="M23" s="17">
        <v>0.94613893120000037</v>
      </c>
      <c r="N23" s="17">
        <v>9.4613893120000037E-4</v>
      </c>
      <c r="O23" s="17">
        <v>0.16496286986354303</v>
      </c>
    </row>
    <row r="24" spans="1:15">
      <c r="A24" s="42" t="s">
        <v>69</v>
      </c>
      <c r="B24" s="10" t="s">
        <v>70</v>
      </c>
      <c r="C24" s="43" t="s">
        <v>17</v>
      </c>
      <c r="D24" s="12" t="s">
        <v>18</v>
      </c>
      <c r="E24" s="13" t="s">
        <v>36</v>
      </c>
      <c r="F24" s="36">
        <v>5</v>
      </c>
      <c r="G24" s="44" t="s">
        <v>71</v>
      </c>
      <c r="H24" s="25">
        <v>6132.8125</v>
      </c>
      <c r="I24" s="25">
        <v>339.76958051292615</v>
      </c>
      <c r="J24" s="25">
        <v>1</v>
      </c>
      <c r="K24" s="16">
        <v>200.57189542483661</v>
      </c>
      <c r="L24" s="16">
        <v>0.20057189542483661</v>
      </c>
      <c r="M24" s="17">
        <v>1.2300698274101307</v>
      </c>
      <c r="N24" s="17">
        <v>1.2300698274101307E-3</v>
      </c>
      <c r="O24" s="17">
        <v>6.8148228771179237E-2</v>
      </c>
    </row>
    <row r="25" spans="1:15">
      <c r="A25" s="42" t="s">
        <v>69</v>
      </c>
      <c r="B25" s="10" t="s">
        <v>72</v>
      </c>
      <c r="C25" s="43" t="s">
        <v>17</v>
      </c>
      <c r="D25" s="12" t="s">
        <v>18</v>
      </c>
      <c r="E25" s="13" t="s">
        <v>36</v>
      </c>
      <c r="F25" s="36">
        <v>3</v>
      </c>
      <c r="G25" s="44" t="s">
        <v>73</v>
      </c>
      <c r="H25" s="45">
        <v>50073.187499999993</v>
      </c>
      <c r="I25" s="25">
        <v>1865.4015609765925</v>
      </c>
      <c r="J25" s="25">
        <v>1</v>
      </c>
      <c r="K25" s="16">
        <v>300.00000000000006</v>
      </c>
      <c r="L25" s="16">
        <v>0.30000000000000004</v>
      </c>
      <c r="M25" s="17">
        <v>15.021956250000001</v>
      </c>
      <c r="N25" s="17">
        <v>1.5021956250000001E-2</v>
      </c>
      <c r="O25" s="17">
        <v>0.55962046829297785</v>
      </c>
    </row>
    <row r="26" spans="1:15">
      <c r="A26" s="42" t="s">
        <v>69</v>
      </c>
      <c r="B26" s="10" t="s">
        <v>72</v>
      </c>
      <c r="C26" s="43" t="s">
        <v>17</v>
      </c>
      <c r="D26" s="12" t="s">
        <v>18</v>
      </c>
      <c r="E26" s="13" t="s">
        <v>36</v>
      </c>
      <c r="F26" s="36">
        <v>4</v>
      </c>
      <c r="G26" s="44" t="s">
        <v>74</v>
      </c>
      <c r="H26" s="25">
        <v>78362.625</v>
      </c>
      <c r="I26" s="25">
        <v>2682.3464294264531</v>
      </c>
      <c r="J26" s="25">
        <v>1</v>
      </c>
      <c r="K26" s="16">
        <v>100.00000000000001</v>
      </c>
      <c r="L26" s="16">
        <v>0.10000000000000002</v>
      </c>
      <c r="M26" s="17">
        <v>7.836262500000001</v>
      </c>
      <c r="N26" s="17">
        <v>7.8362625000000016E-3</v>
      </c>
      <c r="O26" s="17">
        <v>0.26823464294264537</v>
      </c>
    </row>
    <row r="27" spans="1:15">
      <c r="A27" s="46" t="s">
        <v>75</v>
      </c>
      <c r="B27" s="19" t="s">
        <v>76</v>
      </c>
      <c r="C27" s="27" t="s">
        <v>43</v>
      </c>
      <c r="D27" s="12" t="s">
        <v>18</v>
      </c>
      <c r="E27" s="13" t="s">
        <v>36</v>
      </c>
      <c r="F27" s="13">
        <v>5</v>
      </c>
      <c r="G27" s="14" t="s">
        <v>77</v>
      </c>
      <c r="H27" s="15">
        <v>753.6</v>
      </c>
      <c r="I27" s="15">
        <v>108.66484044594193</v>
      </c>
      <c r="J27" s="15">
        <v>1</v>
      </c>
      <c r="K27" s="16">
        <v>12352.29117379436</v>
      </c>
      <c r="L27" s="16">
        <v>12.352291173794359</v>
      </c>
      <c r="M27" s="17">
        <v>9.3086866285714294</v>
      </c>
      <c r="N27" s="17">
        <v>9.3086866285714293E-3</v>
      </c>
      <c r="O27" s="17">
        <v>1.3422597495421809</v>
      </c>
    </row>
    <row r="28" spans="1:15">
      <c r="A28" s="47" t="s">
        <v>78</v>
      </c>
      <c r="B28" s="19" t="s">
        <v>79</v>
      </c>
      <c r="C28" s="11" t="s">
        <v>43</v>
      </c>
      <c r="D28" s="48" t="s">
        <v>18</v>
      </c>
      <c r="E28" s="13" t="s">
        <v>36</v>
      </c>
      <c r="F28" s="13">
        <v>3</v>
      </c>
      <c r="G28" s="14" t="s">
        <v>80</v>
      </c>
      <c r="H28" s="15">
        <v>1205.76</v>
      </c>
      <c r="I28" s="15">
        <v>156.0755438883325</v>
      </c>
      <c r="J28" s="15">
        <v>1</v>
      </c>
      <c r="K28" s="16">
        <v>100.28594771241831</v>
      </c>
      <c r="L28" s="16">
        <v>0.10028594771241831</v>
      </c>
      <c r="M28" s="17">
        <v>0.12092078431372549</v>
      </c>
      <c r="N28" s="17">
        <v>1.209207843137255E-4</v>
      </c>
      <c r="O28" s="17">
        <v>1.5652183833572562E-2</v>
      </c>
    </row>
    <row r="29" spans="1:15">
      <c r="A29" s="47" t="s">
        <v>78</v>
      </c>
      <c r="B29" s="19" t="s">
        <v>81</v>
      </c>
      <c r="C29" s="11" t="s">
        <v>82</v>
      </c>
      <c r="D29" s="12" t="s">
        <v>18</v>
      </c>
      <c r="E29" s="13" t="s">
        <v>36</v>
      </c>
      <c r="F29" s="13">
        <v>2</v>
      </c>
      <c r="G29" s="14" t="s">
        <v>83</v>
      </c>
      <c r="H29" s="15">
        <v>120</v>
      </c>
      <c r="I29" s="15">
        <v>19.355524356209443</v>
      </c>
      <c r="J29" s="15">
        <v>1</v>
      </c>
      <c r="K29" s="16">
        <v>164783.35286624209</v>
      </c>
      <c r="L29" s="16">
        <v>164.7833528662421</v>
      </c>
      <c r="M29" s="17">
        <v>19.77400234394905</v>
      </c>
      <c r="N29" s="17">
        <v>1.9774002343949049E-2</v>
      </c>
      <c r="O29" s="17">
        <v>3.189468199900404</v>
      </c>
    </row>
    <row r="30" spans="1:15">
      <c r="A30" s="49" t="s">
        <v>84</v>
      </c>
      <c r="B30" s="19" t="s">
        <v>85</v>
      </c>
      <c r="C30" s="11" t="s">
        <v>86</v>
      </c>
      <c r="D30" s="48" t="s">
        <v>64</v>
      </c>
      <c r="E30" s="13" t="s">
        <v>36</v>
      </c>
      <c r="F30" s="13">
        <v>4</v>
      </c>
      <c r="G30" s="14" t="s">
        <v>57</v>
      </c>
      <c r="H30" s="15">
        <v>7451.3671875</v>
      </c>
      <c r="I30" s="15">
        <v>934.29348902862966</v>
      </c>
      <c r="J30" s="15">
        <v>1</v>
      </c>
      <c r="K30" s="16">
        <v>1600.0000000000002</v>
      </c>
      <c r="L30" s="16">
        <v>1.6000000000000003</v>
      </c>
      <c r="M30" s="17">
        <v>11.922187500000001</v>
      </c>
      <c r="N30" s="17">
        <v>1.1922187500000002E-2</v>
      </c>
      <c r="O30" s="17">
        <v>1.4948695824458078</v>
      </c>
    </row>
    <row r="31" spans="1:15">
      <c r="A31" s="49" t="s">
        <v>84</v>
      </c>
      <c r="B31" s="19" t="s">
        <v>85</v>
      </c>
      <c r="C31" s="11" t="s">
        <v>25</v>
      </c>
      <c r="D31" s="48" t="s">
        <v>64</v>
      </c>
      <c r="E31" s="13" t="s">
        <v>36</v>
      </c>
      <c r="F31" s="13">
        <v>5</v>
      </c>
      <c r="G31" s="14" t="s">
        <v>87</v>
      </c>
      <c r="H31" s="15">
        <v>14130</v>
      </c>
      <c r="I31" s="15">
        <v>1703.8730788363557</v>
      </c>
      <c r="J31" s="15">
        <v>1</v>
      </c>
      <c r="K31" s="16">
        <v>1400.0000000000002</v>
      </c>
      <c r="L31" s="16">
        <v>1.4000000000000001</v>
      </c>
      <c r="M31" s="17">
        <v>19.782000000000004</v>
      </c>
      <c r="N31" s="17">
        <v>1.9782000000000004E-2</v>
      </c>
      <c r="O31" s="17">
        <v>2.3854223103708985</v>
      </c>
    </row>
    <row r="32" spans="1:15">
      <c r="A32" s="49" t="s">
        <v>84</v>
      </c>
      <c r="B32" s="19" t="s">
        <v>85</v>
      </c>
      <c r="C32" s="11" t="s">
        <v>25</v>
      </c>
      <c r="D32" s="48" t="s">
        <v>64</v>
      </c>
      <c r="E32" s="13" t="s">
        <v>36</v>
      </c>
      <c r="F32" s="13">
        <v>7</v>
      </c>
      <c r="G32" s="14" t="s">
        <v>88</v>
      </c>
      <c r="H32" s="15">
        <v>33493.333333333336</v>
      </c>
      <c r="I32" s="15">
        <v>3831.6837939932511</v>
      </c>
      <c r="J32" s="15">
        <v>1</v>
      </c>
      <c r="K32" s="16">
        <v>1600.0000000000002</v>
      </c>
      <c r="L32" s="16">
        <v>1.6000000000000003</v>
      </c>
      <c r="M32" s="17">
        <v>53.589333333333343</v>
      </c>
      <c r="N32" s="17">
        <v>5.3589333333333343E-2</v>
      </c>
      <c r="O32" s="17">
        <v>6.130694070389203</v>
      </c>
    </row>
    <row r="33" spans="1:15">
      <c r="A33" s="49" t="s">
        <v>84</v>
      </c>
      <c r="B33" s="19" t="s">
        <v>85</v>
      </c>
      <c r="C33" s="11" t="s">
        <v>25</v>
      </c>
      <c r="D33" s="48" t="s">
        <v>64</v>
      </c>
      <c r="E33" s="13" t="s">
        <v>36</v>
      </c>
      <c r="F33" s="13">
        <v>8</v>
      </c>
      <c r="G33" s="14" t="s">
        <v>89</v>
      </c>
      <c r="H33" s="15">
        <v>65416.666666666664</v>
      </c>
      <c r="I33" s="15">
        <v>7184.3117387059938</v>
      </c>
      <c r="J33" s="15">
        <v>1</v>
      </c>
      <c r="K33" s="16">
        <v>1000.0000000000001</v>
      </c>
      <c r="L33" s="16">
        <v>1.0000000000000002</v>
      </c>
      <c r="M33" s="17">
        <v>65.416666666666671</v>
      </c>
      <c r="N33" s="17">
        <v>6.5416666666666665E-2</v>
      </c>
      <c r="O33" s="17">
        <v>7.1843117387059943</v>
      </c>
    </row>
    <row r="34" spans="1:15">
      <c r="A34" s="50" t="s">
        <v>90</v>
      </c>
      <c r="B34" s="19" t="s">
        <v>91</v>
      </c>
      <c r="C34" s="11" t="s">
        <v>92</v>
      </c>
      <c r="D34" s="48" t="s">
        <v>48</v>
      </c>
      <c r="E34" s="13" t="s">
        <v>36</v>
      </c>
      <c r="F34" s="13">
        <v>3</v>
      </c>
      <c r="G34" s="14" t="s">
        <v>87</v>
      </c>
      <c r="H34" s="15">
        <v>4945.5</v>
      </c>
      <c r="I34" s="15">
        <v>635.79503886130431</v>
      </c>
      <c r="J34" s="15">
        <v>1</v>
      </c>
      <c r="K34" s="16">
        <v>6176.1455868971798</v>
      </c>
      <c r="L34" s="16">
        <v>6.1761455868971797</v>
      </c>
      <c r="M34" s="17">
        <v>30.544128000000004</v>
      </c>
      <c r="N34" s="17">
        <v>3.0544128000000004E-2</v>
      </c>
      <c r="O34" s="17">
        <v>3.9267627234343654</v>
      </c>
    </row>
    <row r="35" spans="1:15">
      <c r="A35" s="51" t="s">
        <v>93</v>
      </c>
      <c r="B35" s="19" t="s">
        <v>93</v>
      </c>
      <c r="C35" s="11" t="s">
        <v>43</v>
      </c>
      <c r="D35" s="48" t="s">
        <v>64</v>
      </c>
      <c r="E35" s="13" t="s">
        <v>36</v>
      </c>
      <c r="F35" s="13">
        <v>4</v>
      </c>
      <c r="G35" s="14" t="s">
        <v>94</v>
      </c>
      <c r="H35" s="15">
        <v>63.585000000000001</v>
      </c>
      <c r="I35" s="15">
        <v>10.661143562041268</v>
      </c>
      <c r="J35" s="15">
        <v>1</v>
      </c>
      <c r="K35" s="16">
        <v>58851.197452229317</v>
      </c>
      <c r="L35" s="16">
        <v>58.851197452229314</v>
      </c>
      <c r="M35" s="17">
        <v>3.742053390000001</v>
      </c>
      <c r="N35" s="17">
        <v>3.742053390000001E-3</v>
      </c>
      <c r="O35" s="17">
        <v>0.62742106483625404</v>
      </c>
    </row>
    <row r="36" spans="1:15">
      <c r="A36" s="51" t="s">
        <v>93</v>
      </c>
      <c r="B36" s="19" t="s">
        <v>93</v>
      </c>
      <c r="C36" s="11" t="s">
        <v>25</v>
      </c>
      <c r="D36" s="48" t="s">
        <v>64</v>
      </c>
      <c r="E36" s="13" t="s">
        <v>36</v>
      </c>
      <c r="F36" s="13">
        <v>9</v>
      </c>
      <c r="G36" s="14" t="s">
        <v>95</v>
      </c>
      <c r="H36" s="15">
        <v>8.1770833333333339</v>
      </c>
      <c r="I36" s="15">
        <v>1.5537590491729809</v>
      </c>
      <c r="J36" s="15">
        <v>1</v>
      </c>
      <c r="K36" s="16">
        <v>219711.13715498944</v>
      </c>
      <c r="L36" s="16">
        <v>219.71113715498944</v>
      </c>
      <c r="M36" s="17">
        <v>1.7965962777777784</v>
      </c>
      <c r="N36" s="17">
        <v>1.7965962777777783E-3</v>
      </c>
      <c r="O36" s="17">
        <v>0.3413781675586508</v>
      </c>
    </row>
    <row r="37" spans="1:15">
      <c r="K37" s="58"/>
      <c r="L37" s="58"/>
      <c r="M37" s="58"/>
      <c r="N37" s="58"/>
      <c r="O37" s="58"/>
    </row>
    <row r="42" spans="1:15">
      <c r="K42" s="59" t="s">
        <v>10</v>
      </c>
      <c r="M42" s="61" t="s">
        <v>96</v>
      </c>
    </row>
    <row r="43" spans="1:15" s="60" customFormat="1">
      <c r="A43" s="52"/>
      <c r="B43" s="53"/>
      <c r="C43" s="54"/>
      <c r="D43" s="55"/>
      <c r="E43" s="52"/>
      <c r="F43" s="52"/>
      <c r="G43" s="56"/>
      <c r="H43" s="57"/>
      <c r="I43" s="57"/>
      <c r="J43" s="63" t="s">
        <v>15</v>
      </c>
      <c r="K43" s="60">
        <f>SUM(K2:K8)</f>
        <v>234185.98184213816</v>
      </c>
      <c r="M43" s="62">
        <f>SUM(M2:M8)</f>
        <v>80.154242540596073</v>
      </c>
      <c r="N43" s="62"/>
      <c r="O43" s="62"/>
    </row>
    <row r="44" spans="1:15" s="60" customFormat="1">
      <c r="A44" s="52"/>
      <c r="B44" s="53"/>
      <c r="C44" s="54"/>
      <c r="D44" s="55"/>
      <c r="E44" s="52"/>
      <c r="F44" s="52"/>
      <c r="G44" s="56"/>
      <c r="H44" s="57"/>
      <c r="I44" s="57"/>
      <c r="J44" s="20" t="s">
        <v>33</v>
      </c>
      <c r="K44" s="60">
        <f>SUM(K9:K11)</f>
        <v>201840.22638762518</v>
      </c>
      <c r="M44" s="62">
        <f>SUM(M9:M11)</f>
        <v>17.254662378571432</v>
      </c>
      <c r="N44" s="62"/>
      <c r="O44" s="62"/>
    </row>
    <row r="45" spans="1:15">
      <c r="J45" s="22" t="s">
        <v>41</v>
      </c>
      <c r="K45" s="64">
        <f>SUM(K12:K21)</f>
        <v>66311.396356461919</v>
      </c>
      <c r="M45" s="62">
        <f>SUM(M12:M21)</f>
        <v>31.6794975946809</v>
      </c>
    </row>
    <row r="46" spans="1:15">
      <c r="J46" s="40" t="s">
        <v>62</v>
      </c>
      <c r="K46" s="60">
        <f>K22</f>
        <v>47080.957961783453</v>
      </c>
      <c r="M46" s="62">
        <f>M22</f>
        <v>3.0798793333333343</v>
      </c>
    </row>
    <row r="47" spans="1:15" s="62" customFormat="1">
      <c r="A47" s="52"/>
      <c r="B47" s="53"/>
      <c r="C47" s="54"/>
      <c r="D47" s="55"/>
      <c r="E47" s="52"/>
      <c r="F47" s="52"/>
      <c r="G47" s="56"/>
      <c r="H47" s="57"/>
      <c r="I47" s="57"/>
      <c r="J47" s="41" t="s">
        <v>66</v>
      </c>
      <c r="K47" s="60">
        <f>K23</f>
        <v>28248.574777070076</v>
      </c>
      <c r="L47" s="60"/>
      <c r="M47" s="62">
        <f>M23</f>
        <v>0.94613893120000037</v>
      </c>
    </row>
    <row r="48" spans="1:15" s="62" customFormat="1">
      <c r="A48" s="52"/>
      <c r="B48" s="53"/>
      <c r="C48" s="54"/>
      <c r="D48" s="55"/>
      <c r="E48" s="52"/>
      <c r="F48" s="52"/>
      <c r="G48" s="56"/>
      <c r="H48" s="57"/>
      <c r="I48" s="57"/>
      <c r="J48" s="42" t="s">
        <v>69</v>
      </c>
      <c r="K48" s="60">
        <f>SUM(K24:K26)</f>
        <v>600.57189542483673</v>
      </c>
      <c r="L48" s="60"/>
      <c r="M48" s="62">
        <f>SUM(M24:M26)</f>
        <v>24.088288577410133</v>
      </c>
    </row>
    <row r="49" spans="1:14" s="62" customFormat="1">
      <c r="A49" s="52"/>
      <c r="B49" s="53"/>
      <c r="C49" s="54"/>
      <c r="D49" s="55"/>
      <c r="E49" s="52"/>
      <c r="F49" s="52"/>
      <c r="G49" s="56"/>
      <c r="H49" s="57"/>
      <c r="I49" s="57"/>
      <c r="J49" s="65" t="s">
        <v>75</v>
      </c>
      <c r="K49" s="60">
        <f>K27</f>
        <v>12352.29117379436</v>
      </c>
      <c r="L49" s="60"/>
      <c r="M49" s="62">
        <f>M27</f>
        <v>9.3086866285714294</v>
      </c>
    </row>
    <row r="50" spans="1:14" s="62" customFormat="1">
      <c r="A50" s="52"/>
      <c r="B50" s="53"/>
      <c r="C50" s="54"/>
      <c r="D50" s="55"/>
      <c r="E50" s="52"/>
      <c r="F50" s="52"/>
      <c r="G50" s="56"/>
      <c r="H50" s="57"/>
      <c r="I50" s="57"/>
      <c r="J50" s="47" t="s">
        <v>78</v>
      </c>
      <c r="K50" s="60">
        <f>SUM(K28:K29)</f>
        <v>164883.63881395452</v>
      </c>
      <c r="L50" s="60"/>
      <c r="M50" s="62">
        <f>SUM(M28:M29)</f>
        <v>19.894923128262775</v>
      </c>
    </row>
    <row r="51" spans="1:14" s="62" customFormat="1">
      <c r="A51" s="52"/>
      <c r="B51" s="53"/>
      <c r="C51" s="54"/>
      <c r="D51" s="55"/>
      <c r="E51" s="52"/>
      <c r="F51" s="52"/>
      <c r="G51" s="56"/>
      <c r="H51" s="57"/>
      <c r="I51" s="57"/>
      <c r="J51" s="66" t="s">
        <v>84</v>
      </c>
      <c r="K51" s="60">
        <f>SUM(K30:K33)</f>
        <v>5600.0000000000009</v>
      </c>
      <c r="L51" s="60"/>
      <c r="M51" s="62">
        <f>SUM(M30:M33)</f>
        <v>150.71018750000002</v>
      </c>
    </row>
    <row r="52" spans="1:14" s="62" customFormat="1">
      <c r="A52" s="52"/>
      <c r="B52" s="53"/>
      <c r="C52" s="54"/>
      <c r="D52" s="55"/>
      <c r="E52" s="52"/>
      <c r="F52" s="52"/>
      <c r="G52" s="56"/>
      <c r="H52" s="57"/>
      <c r="I52" s="57"/>
      <c r="J52" s="67" t="s">
        <v>97</v>
      </c>
      <c r="K52" s="60">
        <v>0</v>
      </c>
      <c r="L52" s="60"/>
      <c r="M52" s="62">
        <v>0</v>
      </c>
    </row>
    <row r="53" spans="1:14" s="62" customFormat="1">
      <c r="A53" s="52"/>
      <c r="B53" s="53"/>
      <c r="C53" s="54"/>
      <c r="D53" s="55"/>
      <c r="E53" s="52"/>
      <c r="F53" s="52"/>
      <c r="G53" s="56"/>
      <c r="H53" s="57"/>
      <c r="I53" s="57"/>
      <c r="J53" s="68" t="s">
        <v>90</v>
      </c>
      <c r="K53" s="60">
        <f>K34</f>
        <v>6176.1455868971798</v>
      </c>
      <c r="L53" s="60"/>
      <c r="M53" s="62">
        <f>M34</f>
        <v>30.544128000000004</v>
      </c>
      <c r="N53" s="69"/>
    </row>
    <row r="54" spans="1:14">
      <c r="J54" s="70" t="s">
        <v>98</v>
      </c>
      <c r="K54" s="60">
        <v>0</v>
      </c>
      <c r="M54" s="62">
        <v>0</v>
      </c>
    </row>
    <row r="55" spans="1:14">
      <c r="J55" s="51" t="s">
        <v>93</v>
      </c>
      <c r="K55" s="71">
        <f>SUM(K35:K36)</f>
        <v>278562.33460721874</v>
      </c>
      <c r="L55" s="71"/>
      <c r="M55" s="72">
        <f>SUM(M35:M36)</f>
        <v>5.5386496677777792</v>
      </c>
    </row>
    <row r="56" spans="1:14">
      <c r="J56" s="73" t="s">
        <v>99</v>
      </c>
      <c r="K56" s="74">
        <f>SUM(K43:K55)</f>
        <v>1045842.1194023684</v>
      </c>
      <c r="L56" s="74"/>
      <c r="M56" s="69">
        <f>SUM(M43:M55)</f>
        <v>373.1992842804039</v>
      </c>
    </row>
  </sheetData>
  <pageMargins left="0.25" right="0.25" top="0.75" bottom="0.75" header="0.3" footer="0.3"/>
  <pageSetup paperSize="9" scale="5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378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 Pe</dc:creator>
  <cp:lastModifiedBy>Ca Pe</cp:lastModifiedBy>
  <dcterms:created xsi:type="dcterms:W3CDTF">2026-08-26T14:33:24Z</dcterms:created>
  <dcterms:modified xsi:type="dcterms:W3CDTF">2026-08-26T14:33:55Z</dcterms:modified>
</cp:coreProperties>
</file>